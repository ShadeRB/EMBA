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corey_dales_utoronto_ca/Documents/EMBA 46/Team 3/Accounting 1/Assignment 2/Corey/"/>
    </mc:Choice>
  </mc:AlternateContent>
  <xr:revisionPtr revIDLastSave="174" documentId="8_{7FD58D30-BDC8-48CA-9687-A8AC28343FF1}" xr6:coauthVersionLast="47" xr6:coauthVersionMax="47" xr10:uidLastSave="{F0755F47-DFAF-49A8-A9AD-776B74B94B9A}"/>
  <bookViews>
    <workbookView xWindow="57480" yWindow="-120" windowWidth="29040" windowHeight="15720" xr2:uid="{CC690894-A0BD-48D8-81BC-BAF62B89B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52" i="1"/>
  <c r="D51" i="1"/>
  <c r="C53" i="1"/>
  <c r="C52" i="1"/>
  <c r="C51" i="1"/>
  <c r="C57" i="1"/>
  <c r="D57" i="1"/>
  <c r="D56" i="1"/>
  <c r="C56" i="1"/>
  <c r="E42" i="1"/>
  <c r="E41" i="1"/>
  <c r="E43" i="1" s="1"/>
  <c r="E39" i="1"/>
  <c r="E45" i="1" s="1"/>
  <c r="E38" i="1"/>
  <c r="E37" i="1"/>
  <c r="E31" i="1"/>
  <c r="E30" i="1"/>
  <c r="E32" i="1" s="1"/>
  <c r="E27" i="1"/>
  <c r="E26" i="1"/>
  <c r="E28" i="1" s="1"/>
  <c r="E34" i="1" s="1"/>
  <c r="F23" i="1" l="1"/>
  <c r="F22" i="1"/>
  <c r="F21" i="1"/>
  <c r="F20" i="1"/>
  <c r="F19" i="1"/>
  <c r="F18" i="1"/>
  <c r="F17" i="1"/>
  <c r="F16" i="1"/>
  <c r="D22" i="1"/>
  <c r="D21" i="1"/>
  <c r="D20" i="1"/>
  <c r="D19" i="1"/>
  <c r="D18" i="1"/>
  <c r="D17" i="1"/>
  <c r="D16" i="1"/>
  <c r="D23" i="1"/>
  <c r="F11" i="1"/>
  <c r="F10" i="1"/>
  <c r="F9" i="1"/>
  <c r="F8" i="1"/>
  <c r="F7" i="1"/>
  <c r="F6" i="1"/>
  <c r="D11" i="1"/>
  <c r="D10" i="1"/>
  <c r="D9" i="1"/>
  <c r="D8" i="1"/>
  <c r="D7" i="1"/>
  <c r="H7" i="1" s="1"/>
  <c r="D6" i="1"/>
  <c r="H6" i="1" s="1"/>
  <c r="F5" i="1"/>
  <c r="D5" i="1"/>
  <c r="H18" i="1" l="1"/>
  <c r="H8" i="1"/>
  <c r="H9" i="1"/>
  <c r="H10" i="1"/>
  <c r="H11" i="1"/>
</calcChain>
</file>

<file path=xl/sharedStrings.xml><?xml version="1.0" encoding="utf-8"?>
<sst xmlns="http://schemas.openxmlformats.org/spreadsheetml/2006/main" count="46" uniqueCount="46">
  <si>
    <t>(Amounts in millions, except per share data)</t>
  </si>
  <si>
    <t>Fiscal Years Ended January 31,</t>
  </si>
  <si>
    <t>Net Sales</t>
  </si>
  <si>
    <t>Cost of Sales</t>
  </si>
  <si>
    <t>Operating Income</t>
  </si>
  <si>
    <t>Other (gains) and losses</t>
  </si>
  <si>
    <t>Income before income taxes</t>
  </si>
  <si>
    <t>Provision for income taxes</t>
  </si>
  <si>
    <t>Consolidated net income</t>
  </si>
  <si>
    <t>(Amounts in millions)</t>
  </si>
  <si>
    <t>As of January 31,</t>
  </si>
  <si>
    <t>Cash and Cash equivalents</t>
  </si>
  <si>
    <t>Prepaid expenses and other</t>
  </si>
  <si>
    <t>Property and equiment, net</t>
  </si>
  <si>
    <t>Revenues:</t>
  </si>
  <si>
    <t>Total equity</t>
  </si>
  <si>
    <t>Total liabilites and equity</t>
  </si>
  <si>
    <t>Long-term debt</t>
  </si>
  <si>
    <t>Accrued liabilities</t>
  </si>
  <si>
    <t>Other long-term assets</t>
  </si>
  <si>
    <t>Question 1:</t>
  </si>
  <si>
    <t>Question 2:</t>
  </si>
  <si>
    <t>2020 Total Liabilities = Total Liabilities &amp; Equity - Total Equity</t>
  </si>
  <si>
    <t>2020 Total Equity</t>
  </si>
  <si>
    <t>2020 Total Liabilities-to-Equity Ratio</t>
  </si>
  <si>
    <t>2021 Total Liabilities = Total Liabilities &amp; Equity - Total Equity</t>
  </si>
  <si>
    <t>2021 Total Equity</t>
  </si>
  <si>
    <t>2021 Total Liabilities-to-Equity Ratio</t>
  </si>
  <si>
    <t>Question 3:</t>
  </si>
  <si>
    <t>2020 Net Sales</t>
  </si>
  <si>
    <t>2020 Consolodated Net Income To Net Sales</t>
  </si>
  <si>
    <t>2020 Consolidated Net Income</t>
  </si>
  <si>
    <t>2021 Net Sales</t>
  </si>
  <si>
    <t>2021 Consolodated Net Income To Net Sales</t>
  </si>
  <si>
    <t>2021 Consolidated Net Income</t>
  </si>
  <si>
    <t>Change in Total Liabilies-To-Equity from 2020 to 2021</t>
  </si>
  <si>
    <t>Change in Consolodated Net Income to Net Sales from 2020 to 2021</t>
  </si>
  <si>
    <t>Change from 2020 to 2021</t>
  </si>
  <si>
    <t>Question 4:</t>
  </si>
  <si>
    <t>Gross Profit Margin = (Sales - COGS) / Sales</t>
  </si>
  <si>
    <t>Net Profit Margin = Net Income / Sales</t>
  </si>
  <si>
    <t>Gross Profit Margin</t>
  </si>
  <si>
    <t>Net Profit Margin</t>
  </si>
  <si>
    <t>Sales</t>
  </si>
  <si>
    <t>COGS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</si>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</sst>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_-&quot;$&quot;* #,##0_-;\-&quot;$&quot;* #,##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/>
    <xf numFmtId="166" fontId="0" fillId="0" borderId="1" xfId="1" applyNumberFormat="1" applyFont="1" applyBorder="1"/>
    <xf numFmtId="166" fontId="0" fillId="0" borderId="0" xfId="0" applyNumberFormat="1"/>
    <xf numFmtId="10" fontId="0" fillId="0" borderId="0" xfId="2" applyNumberFormat="1" applyFont="1"/>
    <xf numFmtId="1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97CE-4CF0-4E5B-BFE8-0C60B255DFCD}">
  <dimension ref="A1:H57"/>
  <sheetViews>
    <sheetView tabSelected="1" workbookViewId="0">
      <pane ySplit="23" topLeftCell="A48" activePane="bottomLeft" state="frozen"/>
      <selection pane="bottomLeft" activeCell="E45" sqref="E45"/>
    </sheetView>
  </sheetViews>
  <sheetFormatPr defaultRowHeight="14.5" x14ac:dyDescent="0.35"/>
  <cols>
    <col min="2" max="2" width="39" bestFit="1" customWidth="1"/>
    <col min="3" max="6" width="12.6328125" customWidth="1"/>
  </cols>
  <sheetData>
    <row r="1" spans="1:8" x14ac:dyDescent="0.35">
      <c r="A1" t="s">
        <v>20</v>
      </c>
    </row>
    <row r="2" spans="1:8" x14ac:dyDescent="0.35">
      <c r="B2" s="3" t="s">
        <v>0</v>
      </c>
      <c r="C2" s="4" t="s">
        <v>1</v>
      </c>
      <c r="D2" s="4"/>
      <c r="E2" s="4"/>
      <c r="F2" s="4"/>
    </row>
    <row r="3" spans="1:8" x14ac:dyDescent="0.35">
      <c r="B3" s="3"/>
      <c r="C3" s="4">
        <v>2021</v>
      </c>
      <c r="D3" s="4"/>
      <c r="E3" s="4">
        <v>2020</v>
      </c>
      <c r="F3" s="4"/>
      <c r="H3" t="s">
        <v>37</v>
      </c>
    </row>
    <row r="4" spans="1:8" x14ac:dyDescent="0.35">
      <c r="B4" s="3" t="s">
        <v>14</v>
      </c>
      <c r="C4" s="3"/>
      <c r="D4" s="3"/>
      <c r="E4" s="3"/>
      <c r="F4" s="3"/>
    </row>
    <row r="5" spans="1:8" x14ac:dyDescent="0.35">
      <c r="B5" s="3" t="s">
        <v>2</v>
      </c>
      <c r="C5" s="6">
        <v>555233</v>
      </c>
      <c r="D5" s="5">
        <f>C5/C5</f>
        <v>1</v>
      </c>
      <c r="E5" s="6">
        <v>519926</v>
      </c>
      <c r="F5" s="5">
        <f>E5/E5</f>
        <v>1</v>
      </c>
    </row>
    <row r="6" spans="1:8" x14ac:dyDescent="0.35">
      <c r="B6" s="3" t="s">
        <v>3</v>
      </c>
      <c r="C6" s="6">
        <v>420315</v>
      </c>
      <c r="D6" s="5">
        <f>C6/C5</f>
        <v>0.75700651798434171</v>
      </c>
      <c r="E6" s="6">
        <v>394605</v>
      </c>
      <c r="F6" s="5">
        <f>E6/E5</f>
        <v>0.75896377561422201</v>
      </c>
      <c r="H6" s="9">
        <f>D6-F6</f>
        <v>-1.9572576298803046E-3</v>
      </c>
    </row>
    <row r="7" spans="1:8" x14ac:dyDescent="0.35">
      <c r="B7" s="3" t="s">
        <v>4</v>
      </c>
      <c r="C7" s="6">
        <v>22548</v>
      </c>
      <c r="D7" s="5">
        <f>C7/C5</f>
        <v>4.0609978153315816E-2</v>
      </c>
      <c r="E7" s="6">
        <v>20568</v>
      </c>
      <c r="F7" s="5">
        <f>E7/E5</f>
        <v>3.9559475771552104E-2</v>
      </c>
      <c r="H7" s="9">
        <f>D7-F7</f>
        <v>1.0505023817637127E-3</v>
      </c>
    </row>
    <row r="8" spans="1:8" x14ac:dyDescent="0.35">
      <c r="B8" s="3" t="s">
        <v>5</v>
      </c>
      <c r="C8" s="6">
        <v>-210</v>
      </c>
      <c r="D8" s="5">
        <f>C8/C5</f>
        <v>-3.7821959429644854E-4</v>
      </c>
      <c r="E8" s="6">
        <v>-1958</v>
      </c>
      <c r="F8" s="5">
        <f>E8/E5</f>
        <v>-3.7659205348453432E-3</v>
      </c>
      <c r="H8" s="9">
        <f>D8-F8</f>
        <v>3.3877009405488948E-3</v>
      </c>
    </row>
    <row r="9" spans="1:8" x14ac:dyDescent="0.35">
      <c r="B9" s="3" t="s">
        <v>6</v>
      </c>
      <c r="C9" s="6">
        <v>20564</v>
      </c>
      <c r="D9" s="5">
        <f>C9/C5</f>
        <v>3.7036703510057938E-2</v>
      </c>
      <c r="E9" s="6">
        <v>20116</v>
      </c>
      <c r="F9" s="5">
        <f>E9/E5</f>
        <v>3.869012128649077E-2</v>
      </c>
      <c r="H9" s="9">
        <f>D9-F9</f>
        <v>-1.653417776432832E-3</v>
      </c>
    </row>
    <row r="10" spans="1:8" x14ac:dyDescent="0.35">
      <c r="B10" s="3" t="s">
        <v>7</v>
      </c>
      <c r="C10" s="6">
        <v>6858</v>
      </c>
      <c r="D10" s="5">
        <f>C10/C5</f>
        <v>1.2351571322309733E-2</v>
      </c>
      <c r="E10" s="6">
        <v>4915</v>
      </c>
      <c r="F10" s="5">
        <f>E10/E5</f>
        <v>9.4532683497266911E-3</v>
      </c>
      <c r="H10" s="9">
        <f>D10-F10</f>
        <v>2.8983029725830421E-3</v>
      </c>
    </row>
    <row r="11" spans="1:8" x14ac:dyDescent="0.35">
      <c r="B11" s="3" t="s">
        <v>8</v>
      </c>
      <c r="C11" s="6">
        <v>13706</v>
      </c>
      <c r="D11" s="5">
        <f>C11/C5</f>
        <v>2.4685132187748208E-2</v>
      </c>
      <c r="E11" s="6">
        <v>15201</v>
      </c>
      <c r="F11" s="5">
        <f>E11/E5</f>
        <v>2.9236852936764077E-2</v>
      </c>
      <c r="H11" s="9">
        <f>D11-F11</f>
        <v>-4.5517207490158688E-3</v>
      </c>
    </row>
    <row r="12" spans="1:8" x14ac:dyDescent="0.35">
      <c r="C12" s="1"/>
      <c r="D12" s="2"/>
      <c r="E12" s="1"/>
      <c r="F12" s="2"/>
    </row>
    <row r="14" spans="1:8" x14ac:dyDescent="0.35">
      <c r="B14" s="3" t="s">
        <v>9</v>
      </c>
      <c r="C14" s="4" t="s">
        <v>10</v>
      </c>
      <c r="D14" s="4"/>
      <c r="E14" s="4"/>
      <c r="F14" s="4"/>
    </row>
    <row r="15" spans="1:8" x14ac:dyDescent="0.35">
      <c r="B15" s="3"/>
      <c r="C15" s="4">
        <v>2021</v>
      </c>
      <c r="D15" s="4"/>
      <c r="E15" s="4">
        <v>2020</v>
      </c>
      <c r="F15" s="4"/>
    </row>
    <row r="16" spans="1:8" x14ac:dyDescent="0.35">
      <c r="B16" s="3" t="s">
        <v>11</v>
      </c>
      <c r="C16" s="6">
        <v>17741</v>
      </c>
      <c r="D16" s="5">
        <f>C16/C23</f>
        <v>7.0262499207908238E-2</v>
      </c>
      <c r="E16" s="6">
        <v>9465</v>
      </c>
      <c r="F16" s="5">
        <f>E16/E23</f>
        <v>4.0021987779868498E-2</v>
      </c>
    </row>
    <row r="17" spans="1:8" x14ac:dyDescent="0.35">
      <c r="B17" s="3" t="s">
        <v>12</v>
      </c>
      <c r="C17" s="6">
        <v>20861</v>
      </c>
      <c r="D17" s="5">
        <f>C17/C23</f>
        <v>8.2619130600088714E-2</v>
      </c>
      <c r="E17" s="6">
        <v>1622</v>
      </c>
      <c r="F17" s="5">
        <f>E17/E23</f>
        <v>6.8584959512886104E-3</v>
      </c>
    </row>
    <row r="18" spans="1:8" x14ac:dyDescent="0.35">
      <c r="B18" s="3" t="s">
        <v>13</v>
      </c>
      <c r="C18" s="6">
        <v>92201</v>
      </c>
      <c r="D18" s="5">
        <f>C18/C23</f>
        <v>0.36515825993283063</v>
      </c>
      <c r="E18" s="6">
        <v>105208</v>
      </c>
      <c r="F18" s="5">
        <f>E18/E23</f>
        <v>0.44486352777014315</v>
      </c>
      <c r="H18" s="9">
        <f>F18-D18</f>
        <v>7.9705267837312521E-2</v>
      </c>
    </row>
    <row r="19" spans="1:8" x14ac:dyDescent="0.35">
      <c r="B19" s="3" t="s">
        <v>19</v>
      </c>
      <c r="C19" s="6">
        <v>23598</v>
      </c>
      <c r="D19" s="5">
        <f>C19/C23</f>
        <v>9.3458906279703435E-2</v>
      </c>
      <c r="E19" s="6">
        <v>16567</v>
      </c>
      <c r="F19" s="5">
        <f>E19/E23</f>
        <v>7.0052220977187676E-2</v>
      </c>
    </row>
    <row r="20" spans="1:8" x14ac:dyDescent="0.35">
      <c r="B20" s="3" t="s">
        <v>18</v>
      </c>
      <c r="C20" s="6">
        <v>37966</v>
      </c>
      <c r="D20" s="5">
        <f>C20/C23</f>
        <v>0.15036277802420633</v>
      </c>
      <c r="E20" s="6">
        <v>22296</v>
      </c>
      <c r="F20" s="5">
        <f>E20/E23</f>
        <v>9.4276834605382775E-2</v>
      </c>
    </row>
    <row r="21" spans="1:8" x14ac:dyDescent="0.35">
      <c r="B21" s="3" t="s">
        <v>17</v>
      </c>
      <c r="C21" s="6">
        <v>41194</v>
      </c>
      <c r="D21" s="5">
        <f>C21/C23</f>
        <v>0.16314713896457766</v>
      </c>
      <c r="E21" s="6">
        <v>43714</v>
      </c>
      <c r="F21" s="5">
        <f>E21/E23</f>
        <v>0.18484111714835408</v>
      </c>
    </row>
    <row r="22" spans="1:8" x14ac:dyDescent="0.35">
      <c r="B22" s="3" t="s">
        <v>15</v>
      </c>
      <c r="C22" s="6">
        <v>87531</v>
      </c>
      <c r="D22" s="5">
        <f>C22/C23</f>
        <v>0.34666291743235539</v>
      </c>
      <c r="E22" s="6">
        <v>81552</v>
      </c>
      <c r="F22" s="5">
        <f>E22/E23</f>
        <v>0.34483604304530752</v>
      </c>
    </row>
    <row r="23" spans="1:8" x14ac:dyDescent="0.35">
      <c r="B23" s="3" t="s">
        <v>16</v>
      </c>
      <c r="C23" s="6">
        <v>252496</v>
      </c>
      <c r="D23" s="5">
        <f>C23/C23</f>
        <v>1</v>
      </c>
      <c r="E23" s="6">
        <v>236495</v>
      </c>
      <c r="F23" s="5">
        <f>E23/E23</f>
        <v>1</v>
      </c>
    </row>
    <row r="25" spans="1:8" x14ac:dyDescent="0.35">
      <c r="A25" t="s">
        <v>21</v>
      </c>
    </row>
    <row r="26" spans="1:8" x14ac:dyDescent="0.35">
      <c r="B26" t="s">
        <v>22</v>
      </c>
      <c r="E26" s="7">
        <f>E23-E22</f>
        <v>154943</v>
      </c>
    </row>
    <row r="27" spans="1:8" x14ac:dyDescent="0.35">
      <c r="B27" t="s">
        <v>23</v>
      </c>
      <c r="E27" s="7">
        <f>E22</f>
        <v>81552</v>
      </c>
    </row>
    <row r="28" spans="1:8" x14ac:dyDescent="0.35">
      <c r="B28" t="s">
        <v>24</v>
      </c>
      <c r="E28">
        <f>E26/E27</f>
        <v>1.8999288797331764</v>
      </c>
    </row>
    <row r="30" spans="1:8" x14ac:dyDescent="0.35">
      <c r="B30" t="s">
        <v>25</v>
      </c>
      <c r="E30" s="7">
        <f>C23-C22</f>
        <v>164965</v>
      </c>
    </row>
    <row r="31" spans="1:8" x14ac:dyDescent="0.35">
      <c r="B31" t="s">
        <v>26</v>
      </c>
      <c r="E31" s="7">
        <f>C22</f>
        <v>87531</v>
      </c>
    </row>
    <row r="32" spans="1:8" x14ac:dyDescent="0.35">
      <c r="B32" t="s">
        <v>27</v>
      </c>
      <c r="E32">
        <f>E30/E31</f>
        <v>1.8846465823536804</v>
      </c>
    </row>
    <row r="34" spans="1:5" x14ac:dyDescent="0.35">
      <c r="B34" t="s">
        <v>35</v>
      </c>
      <c r="E34">
        <f>E28-E32</f>
        <v>1.5282297379495935E-2</v>
      </c>
    </row>
    <row r="36" spans="1:5" x14ac:dyDescent="0.35">
      <c r="A36" t="s">
        <v>28</v>
      </c>
    </row>
    <row r="37" spans="1:5" x14ac:dyDescent="0.35">
      <c r="B37" t="s">
        <v>31</v>
      </c>
      <c r="E37" s="7">
        <f>E11</f>
        <v>15201</v>
      </c>
    </row>
    <row r="38" spans="1:5" x14ac:dyDescent="0.35">
      <c r="B38" t="s">
        <v>29</v>
      </c>
      <c r="E38" s="7">
        <f>E5</f>
        <v>519926</v>
      </c>
    </row>
    <row r="39" spans="1:5" x14ac:dyDescent="0.35">
      <c r="B39" t="s">
        <v>30</v>
      </c>
      <c r="E39" s="8">
        <f>E37/E38</f>
        <v>2.9236852936764077E-2</v>
      </c>
    </row>
    <row r="41" spans="1:5" x14ac:dyDescent="0.35">
      <c r="B41" t="s">
        <v>34</v>
      </c>
      <c r="E41" s="7">
        <f>C11</f>
        <v>13706</v>
      </c>
    </row>
    <row r="42" spans="1:5" x14ac:dyDescent="0.35">
      <c r="B42" t="s">
        <v>32</v>
      </c>
      <c r="E42" s="7">
        <f>C5</f>
        <v>555233</v>
      </c>
    </row>
    <row r="43" spans="1:5" x14ac:dyDescent="0.35">
      <c r="B43" t="s">
        <v>33</v>
      </c>
      <c r="E43" s="8">
        <f>E41/E42</f>
        <v>2.4685132187748208E-2</v>
      </c>
    </row>
    <row r="45" spans="1:5" x14ac:dyDescent="0.35">
      <c r="B45" t="s">
        <v>36</v>
      </c>
      <c r="E45" s="9">
        <f>E39-E43</f>
        <v>4.5517207490158688E-3</v>
      </c>
    </row>
    <row r="47" spans="1:5" x14ac:dyDescent="0.35">
      <c r="A47" t="s">
        <v>38</v>
      </c>
    </row>
    <row r="48" spans="1:5" x14ac:dyDescent="0.35">
      <c r="B48" t="s">
        <v>39</v>
      </c>
    </row>
    <row r="49" spans="2:4" x14ac:dyDescent="0.35">
      <c r="B49" t="s">
        <v>40</v>
      </c>
    </row>
    <row r="50" spans="2:4" x14ac:dyDescent="0.35">
      <c r="C50">
        <v>2020</v>
      </c>
      <c r="D50">
        <v>2021</v>
      </c>
    </row>
    <row r="51" spans="2:4" x14ac:dyDescent="0.35">
      <c r="B51" t="s">
        <v>43</v>
      </c>
      <c r="C51" s="7">
        <f>E5</f>
        <v>519926</v>
      </c>
      <c r="D51" s="7">
        <f>C5</f>
        <v>555233</v>
      </c>
    </row>
    <row r="52" spans="2:4" x14ac:dyDescent="0.35">
      <c r="B52" t="s">
        <v>44</v>
      </c>
      <c r="C52" s="7">
        <f>E6</f>
        <v>394605</v>
      </c>
      <c r="D52" s="7">
        <f>C6</f>
        <v>420315</v>
      </c>
    </row>
    <row r="53" spans="2:4" x14ac:dyDescent="0.35">
      <c r="B53" t="s">
        <v>45</v>
      </c>
      <c r="C53" s="7">
        <f>E11</f>
        <v>15201</v>
      </c>
      <c r="D53" s="7">
        <f>C11</f>
        <v>13706</v>
      </c>
    </row>
    <row r="55" spans="2:4" x14ac:dyDescent="0.35">
      <c r="C55">
        <v>2020</v>
      </c>
      <c r="D55">
        <v>2021</v>
      </c>
    </row>
    <row r="56" spans="2:4" x14ac:dyDescent="0.35">
      <c r="B56" t="s">
        <v>41</v>
      </c>
      <c r="C56" s="8">
        <f>(E5-E6)/E5</f>
        <v>0.24103622438577799</v>
      </c>
      <c r="D56" s="8">
        <f>(C5-C6)/C5</f>
        <v>0.24299348201565829</v>
      </c>
    </row>
    <row r="57" spans="2:4" x14ac:dyDescent="0.35">
      <c r="B57" t="s">
        <v>42</v>
      </c>
      <c r="C57" s="8">
        <f>E11/E5</f>
        <v>2.9236852936764077E-2</v>
      </c>
      <c r="D57" s="8">
        <f>C11/C5</f>
        <v>2.4685132187748208E-2</v>
      </c>
    </row>
  </sheetData>
  <mergeCells count="6">
    <mergeCell ref="C15:D15"/>
    <mergeCell ref="E15:F15"/>
    <mergeCell ref="C2:F2"/>
    <mergeCell ref="C3:D3"/>
    <mergeCell ref="E3:F3"/>
    <mergeCell ref="C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Dales</dc:creator>
  <cp:lastModifiedBy>Corey Dales</cp:lastModifiedBy>
  <dcterms:created xsi:type="dcterms:W3CDTF">2025-11-17T11:00:42Z</dcterms:created>
  <dcterms:modified xsi:type="dcterms:W3CDTF">2025-11-20T03:31:23Z</dcterms:modified>
</cp:coreProperties>
</file>